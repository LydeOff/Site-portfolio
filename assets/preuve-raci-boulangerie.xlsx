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704b8eaac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T" sheetId="1" r:id="R84805ab663694380"/>
    <x:sheet xmlns:r="http://schemas.openxmlformats.org/officeDocument/2006/relationships" name="RACI" sheetId="2" r:id="Rcfefca266da440cd"/>
    <x:sheet xmlns:r="http://schemas.openxmlformats.org/officeDocument/2006/relationships" name="Charges" sheetId="3" r:id="R816c50237b5845e6"/>
  </x:sheets>
</x:workbook>
</file>

<file path=xl/sharedStrings.xml><?xml version="1.0" encoding="utf-8"?>
<x:sst xmlns:x="http://schemas.openxmlformats.org/spreadsheetml/2006/main">
  <x:si>
    <x:t xml:space="preserve">Insérez dans cet onglet un screenshot de votre OT</x:t>
  </x:si>
  <x:si>
    <x:t xml:space="preserve">Lot</x:t>
  </x:si>
  <x:si>
    <x:t xml:space="preserve">Sous-Lot</x:t>
  </x:si>
  <x:si>
    <x:t xml:space="preserve">Exemple :</x:t>
  </x:si>
  <x:si>
    <x:t xml:space="preserve">a</x:t>
  </x:si>
  <x:si>
    <x:t xml:space="preserve">m</x:t>
  </x:si>
  <x:si>
    <x:t xml:space="preserve">p</x:t>
  </x:si>
  <x:si>
    <x:t xml:space="preserve">Estimation</x:t>
  </x:si>
  <x:si>
    <x:t xml:space="preserve">Coût</x:t>
  </x:si>
  <x:si>
    <x:t xml:space="preserve">A</x:t>
  </x:si>
  <x:si>
    <x:t xml:space="preserve">A1</x:t>
  </x:si>
  <x:si>
    <x:t xml:space="preserve">A2</x:t>
  </x:si>
  <x:si>
    <x:t xml:space="preserve">B</x:t>
  </x:si>
  <x:si>
    <x:t xml:space="preserve">B1</x:t>
  </x:si>
  <x:si>
    <x:t xml:space="preserve">B2</x:t>
  </x:si>
</x:sst>
</file>

<file path=xl/styles.xml><?xml version="1.0" encoding="utf-8"?>
<x:styleSheet xmlns:x="http://schemas.openxmlformats.org/spreadsheetml/2006/main">
  <x:numFmts count="1">
    <x:numFmt numFmtId="173" formatCode="#,##0\ &quot;€&quot;"/>
  </x:numFmts>
  <x:fonts count="2">
    <x:font>
      <x:sz val="12"/>
      <x:color theme="1"/>
      <x:name val="Calibri"/>
    </x:font>
    <x:font>
      <x:sz val="2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2" fontId="0" fillId="0" borderId="0" xfId="0" applyNumberFormat="1" applyAlignment="1">
      <x:alignment horizontal="center" vertical="center"/>
    </x:xf>
    <x:xf numFmtId="173" fontId="0" fillId="0" borderId="0" xfId="0" applyNumberFormat="1" applyAlignment="1">
      <x:alignment horizontal="center" vertical="center"/>
    </x:xf>
  </x:cellXfs>
  <x:cellStyles count="1">
    <x:cellStyle name="Normal" xfId="0"/>
  </x:cellStyles>
  <x:dxfs count="17">
    <x:dxf>
      <x:numFmt numFmtId="2" formatCode="0.00"/>
    </x:dxf>
    <x:dxf>
      <x:numFmt numFmtId="173" formatCode="#,##0\ &quot;€&quot;"/>
    </x:dxf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7036a56024362" /><Relationship Type="http://schemas.openxmlformats.org/officeDocument/2006/relationships/theme" Target="/xl/theme/theme1.xml" Id="Rec39dac7ecb94da1" /><Relationship Type="http://schemas.openxmlformats.org/officeDocument/2006/relationships/sharedStrings" Target="/xl/sharedStrings.xml" Id="R53c8d3b04e7444a4" /><Relationship Type="http://schemas.openxmlformats.org/officeDocument/2006/relationships/worksheet" Target="/xl/worksheets/sheet1.xml" Id="R84805ab663694380" /><Relationship Type="http://schemas.openxmlformats.org/officeDocument/2006/relationships/worksheet" Target="/xl/worksheets/sheet2.xml" Id="Rcfefca266da440cd" /><Relationship Type="http://schemas.openxmlformats.org/officeDocument/2006/relationships/worksheet" Target="/xl/worksheets/sheet3.xml" Id="R816c50237b5845e6" /></Relationships>
</file>

<file path=xl/tables/table1.xml><?xml version="1.0" encoding="utf-8"?>
<x:table xmlns:x="http://schemas.openxmlformats.org/spreadsheetml/2006/main" id="1" name="Tableau1" displayName="Tableau1" ref="B4:G8">
  <x:autoFilter ref="B4:G8"/>
  <x:tableColumns count="6">
    <x:tableColumn id="1" name="Lot"/>
    <x:tableColumn id="2" name="Sous-Lot"/>
    <x:tableColumn id="3" name="Etudiant 1"/>
    <x:tableColumn id="4" name="Etudiant 2"/>
    <x:tableColumn id="5" name="Etudiant 3"/>
    <x:tableColumn id="6" name="Etudiant 4"/>
  </x:tableColumns>
  <x:tableStyleInfo name="TableStyleLight9" showRowStripes="1"/>
</x:table>
</file>

<file path=xl/tables/table2.xml><?xml version="1.0" encoding="utf-8"?>
<x:table xmlns:x="http://schemas.openxmlformats.org/spreadsheetml/2006/main" id="3" name="Tableau14" displayName="Tableau14" ref="B4:H8">
  <x:autoFilter ref="B4:H8"/>
  <x:tableColumns count="7">
    <x:tableColumn id="1" name="Lot"/>
    <x:tableColumn id="2" name="Sous-Lot"/>
    <x:tableColumn id="3" name="a"/>
    <x:tableColumn id="4" name="m"/>
    <x:tableColumn id="5" name="p"/>
    <x:tableColumn id="6" name="Estimation"/>
    <x:tableColumn id="7" name="Coût"/>
  </x:tableColumns>
  <x:tableStyleInfo name="TableStyleLight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567c101ac746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458e291960481f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6384" width="10.83203125" style="2" customWidth="0"/>
  </x:cols>
  <x:sheetData>
    <x:row r="2" ht="29">
      <x:c r="B2" s="1" t="s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3" width="10.83203125" style="2" customWidth="0"/>
    <x:col min="4" max="7" width="11.83203125" style="3" customWidth="1"/>
    <x:col min="8" max="16384" width="10.83203125" style="2" customWidth="0"/>
  </x:cols>
  <x:sheetData>
    <x:row r="2" ht="29">
      <x:c r="B2" s="1" t="str">
        <x:v>Projet :</x:v>
      </x:c>
      <x:c r="C2" t="str">
        <x:v>Projet Horizon</x:v>
      </x:c>
    </x:row>
    <x:row r="4">
      <x:c r="B4" s="2" t="s">
        <x:v>1</x:v>
      </x:c>
      <x:c r="C4" s="2" t="s">
        <x:v>2</x:v>
      </x:c>
      <x:c r="D4" s="3" t="str">
        <x:v>Thomas Le Goff</x:v>
      </x:c>
      <x:c r="E4" s="3" t="str">
        <x:v>Dylan Buanic</x:v>
      </x:c>
      <x:c r="F4" s="3" t="str">
        <x:v>Eliot Belloeil</x:v>
      </x:c>
      <x:c r="G4" s="3" t="str">
        <x:v>Jules Delapilliere</x:v>
      </x:c>
    </x:row>
    <x:row r="5">
      <x:c r="B5" s="2" t="str">
        <x:v>1</x:v>
      </x:c>
      <x:c r="C5" s="2" t="str">
        <x:v>1.1 Analyse du sujet</x:v>
      </x:c>
      <x:c r="D5" s="3" t="str">
        <x:v>R</x:v>
      </x:c>
      <x:c r="E5" s="3" t="str">
        <x:v>A</x:v>
      </x:c>
      <x:c r="F5" s="3" t="str">
        <x:v>C</x:v>
      </x:c>
      <x:c r="G5" s="3" t="str">
        <x:v>I</x:v>
      </x:c>
    </x:row>
    <x:row r="6">
      <x:c r="B6" t="str"/>
      <x:c r="C6" s="2" t="str">
        <x:v>1.2 Reformulation des besoins</x:v>
      </x:c>
      <x:c r="D6" s="3" t="str">
        <x:v>R</x:v>
      </x:c>
      <x:c r="E6" s="3" t="str">
        <x:v>A</x:v>
      </x:c>
      <x:c r="F6" s="3" t="str">
        <x:v>C</x:v>
      </x:c>
      <x:c r="G6" s="3" t="str">
        <x:v>I</x:v>
      </x:c>
    </x:row>
    <x:row r="7">
      <x:c r="B7" s="2" t="str"/>
      <x:c r="C7" s="2" t="str">
        <x:v>1.3 Organisation du projet</x:v>
      </x:c>
      <x:c r="D7" s="3" t="str">
        <x:v>C</x:v>
      </x:c>
      <x:c r="E7" s="3" t="str">
        <x:v>RA</x:v>
      </x:c>
      <x:c r="F7" s="3" t="str">
        <x:v>I</x:v>
      </x:c>
      <x:c r="G7" s="3" t="str">
        <x:v>I</x:v>
      </x:c>
    </x:row>
    <x:row r="8">
      <x:c r="B8" t="str">
        <x:v>2</x:v>
      </x:c>
      <x:c r="C8" s="2" t="str">
        <x:v>2.1 Definition du perimetre fonctionnel</x:v>
      </x:c>
      <x:c r="D8" s="3" t="str">
        <x:v>R</x:v>
      </x:c>
      <x:c r="E8" s="3" t="str">
        <x:v>A</x:v>
      </x:c>
      <x:c r="F8" s="3" t="str">
        <x:v>C</x:v>
      </x:c>
      <x:c r="G8" s="3" t="str">
        <x:v>I</x:v>
      </x:c>
    </x:row>
    <x:row r="9">
      <x:c r="B9" t="str"/>
      <x:c r="C9" t="str">
        <x:v>2.2 Charte graphique</x:v>
      </x:c>
      <x:c r="D9" t="str">
        <x:v>C</x:v>
      </x:c>
      <x:c r="E9" t="str">
        <x:v>I</x:v>
      </x:c>
      <x:c r="F9" t="str">
        <x:v>RA</x:v>
      </x:c>
      <x:c r="G9" t="str">
        <x:v>I</x:v>
      </x:c>
    </x:row>
    <x:row r="10">
      <x:c r="B10" t="str"/>
      <x:c r="C10" t="str">
        <x:v>2.3 Maquettage</x:v>
      </x:c>
      <x:c r="D10" t="str">
        <x:v>C</x:v>
      </x:c>
      <x:c r="E10" t="str">
        <x:v>I</x:v>
      </x:c>
      <x:c r="F10" t="str">
        <x:v>R</x:v>
      </x:c>
      <x:c r="G10" t="str">
        <x:v>A</x:v>
      </x:c>
    </x:row>
    <x:row r="11">
      <x:c r="B11" t="str">
        <x:v>3</x:v>
      </x:c>
      <x:c r="C11" t="str">
        <x:v>3.1 Module ventes</x:v>
      </x:c>
      <x:c r="D11" t="str">
        <x:v>C</x:v>
      </x:c>
      <x:c r="E11" t="str">
        <x:v>I</x:v>
      </x:c>
      <x:c r="F11" t="str">
        <x:v>A</x:v>
      </x:c>
      <x:c r="G11" t="str">
        <x:v>R</x:v>
      </x:c>
    </x:row>
    <x:row r="12">
      <x:c r="B12" t="str"/>
      <x:c r="C12" t="str">
        <x:v>3.2 Module stocks</x:v>
      </x:c>
      <x:c r="D12" t="str">
        <x:v>C</x:v>
      </x:c>
      <x:c r="E12" t="str">
        <x:v>R</x:v>
      </x:c>
      <x:c r="F12" t="str">
        <x:v>I</x:v>
      </x:c>
      <x:c r="G12" t="str">
        <x:v>A</x:v>
      </x:c>
    </x:row>
    <x:row r="13">
      <x:c r="B13" t="str"/>
      <x:c r="C13" t="str">
        <x:v>3.3 Module fournisseurs / commandes</x:v>
      </x:c>
      <x:c r="D13" t="str">
        <x:v>C</x:v>
      </x:c>
      <x:c r="E13" t="str">
        <x:v>R</x:v>
      </x:c>
      <x:c r="F13" t="str">
        <x:v>I</x:v>
      </x:c>
      <x:c r="G13" t="str">
        <x:v>A</x:v>
      </x:c>
    </x:row>
    <x:row r="14">
      <x:c r="B14" t="str"/>
      <x:c r="C14" t="str">
        <x:v>3.4 Module statistiques</x:v>
      </x:c>
      <x:c r="D14" t="str">
        <x:v>R</x:v>
      </x:c>
      <x:c r="E14" t="str">
        <x:v>A</x:v>
      </x:c>
      <x:c r="F14" t="str">
        <x:v>C</x:v>
      </x:c>
      <x:c r="G14" t="str">
        <x:v>I</x:v>
      </x:c>
    </x:row>
    <x:row r="15">
      <x:c r="B15" t="str"/>
      <x:c r="C15" t="str">
        <x:v>3.5 Integration du prototype</x:v>
      </x:c>
      <x:c r="D15" t="str">
        <x:v>C</x:v>
      </x:c>
      <x:c r="E15" t="str">
        <x:v>I</x:v>
      </x:c>
      <x:c r="F15" t="str">
        <x:v>A</x:v>
      </x:c>
      <x:c r="G15" t="str">
        <x:v>R</x:v>
      </x:c>
    </x:row>
    <x:row r="16">
      <x:c r="B16" t="str">
        <x:v>4</x:v>
      </x:c>
      <x:c r="C16" t="str">
        <x:v>4.1 Verification fonctionnelle</x:v>
      </x:c>
      <x:c r="D16" t="str">
        <x:v>A</x:v>
      </x:c>
      <x:c r="E16" t="str">
        <x:v>C</x:v>
      </x:c>
      <x:c r="F16" t="str">
        <x:v>I</x:v>
      </x:c>
      <x:c r="G16" t="str">
        <x:v>R</x:v>
      </x:c>
    </x:row>
    <x:row r="17">
      <x:c r="B17" t="str"/>
      <x:c r="C17" t="str">
        <x:v>4.2 Retours utilisateurs</x:v>
      </x:c>
      <x:c r="D17" t="str">
        <x:v>C</x:v>
      </x:c>
      <x:c r="E17" t="str">
        <x:v>I</x:v>
      </x:c>
      <x:c r="F17" t="str">
        <x:v>A</x:v>
      </x:c>
      <x:c r="G17" t="str">
        <x:v>R</x:v>
      </x:c>
    </x:row>
    <x:row r="18">
      <x:c r="B18" t="str">
        <x:v>5</x:v>
      </x:c>
      <x:c r="C18" t="str">
        <x:v>5.1 Finalisation des livrables</x:v>
      </x:c>
      <x:c r="D18" t="str">
        <x:v>R</x:v>
      </x:c>
      <x:c r="E18" t="str">
        <x:v>A</x:v>
      </x:c>
      <x:c r="F18" t="str">
        <x:v>C</x:v>
      </x:c>
      <x:c r="G18" t="str">
        <x:v>I</x:v>
      </x:c>
    </x:row>
    <x:row r="19">
      <x:c r="B19" t="str"/>
      <x:c r="C19" t="str">
        <x:v>5.2 Preparation de la presentation</x:v>
      </x:c>
      <x:c r="D19" t="str">
        <x:v>R</x:v>
      </x:c>
      <x:c r="E19" t="str">
        <x:v>C</x:v>
      </x:c>
      <x:c r="F19" t="str">
        <x:v>I</x:v>
      </x:c>
      <x:c r="G19" t="str">
        <x:v>A</x:v>
      </x:c>
    </x:row>
    <x:row r="20">
      <x:c r="B20"/>
      <x:c r="C20"/>
      <x:c r="D20"/>
      <x:c r="E20"/>
      <x:c r="F20"/>
      <x:c r="G20"/>
    </x:row>
    <x:row r="21">
      <x:c r="B21"/>
      <x:c r="C21"/>
      <x:c r="D21"/>
      <x:c r="E21"/>
      <x:c r="F21"/>
      <x:c r="G21"/>
    </x:row>
    <x:row r="22">
      <x:c r="B22"/>
      <x:c r="C22"/>
      <x:c r="D22"/>
      <x:c r="E22"/>
      <x:c r="F22"/>
      <x:c r="G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  <x:row r="25">
      <x:c r="B25"/>
      <x:c r="C25"/>
      <x:c r="D25"/>
      <x:c r="E25"/>
      <x:c r="F25"/>
      <x:c r="G25"/>
    </x:row>
    <x:row r="26">
      <x:c r="B26"/>
      <x:c r="C26"/>
      <x:c r="D26"/>
      <x:c r="E26"/>
      <x:c r="F26"/>
      <x:c r="G26"/>
    </x:row>
    <x:row r="27">
      <x:c r="B27"/>
      <x:c r="C27"/>
      <x:c r="D27"/>
      <x:c r="E27"/>
      <x:c r="F27"/>
      <x:c r="G27"/>
    </x:row>
    <x:row r="28">
      <x:c r="B28"/>
      <x:c r="C28"/>
      <x:c r="D28"/>
      <x:c r="E28"/>
      <x:c r="F28"/>
      <x:c r="G28"/>
    </x:row>
    <x:row r="29">
      <x:c r="B29"/>
      <x:c r="C29"/>
      <x:c r="D29"/>
      <x:c r="E29"/>
      <x:c r="F29"/>
      <x:c r="G29"/>
    </x:row>
    <x:row r="30">
      <x:c r="B30"/>
      <x:c r="C30"/>
      <x:c r="D30"/>
      <x:c r="E30"/>
      <x:c r="F30"/>
      <x:c r="G30"/>
    </x:row>
    <x:row r="31">
      <x:c r="B31"/>
      <x:c r="C31"/>
      <x:c r="D31"/>
      <x:c r="E31"/>
      <x:c r="F31"/>
      <x:c r="G31"/>
    </x:row>
    <x:row r="32">
      <x:c r="B32"/>
      <x:c r="C32"/>
      <x:c r="D32"/>
      <x:c r="E32"/>
      <x:c r="F32"/>
      <x:c r="G32"/>
    </x:row>
    <x:row r="33">
      <x:c r="B33"/>
      <x:c r="C33"/>
      <x:c r="D33"/>
      <x:c r="E33"/>
      <x:c r="F33"/>
      <x:c r="G33"/>
    </x:row>
    <x:row r="34">
      <x:c r="B34"/>
      <x:c r="C34"/>
      <x:c r="D34"/>
      <x:c r="E34"/>
      <x:c r="F34"/>
      <x:c r="G34"/>
    </x:row>
    <x:row r="35">
      <x:c r="B35"/>
      <x:c r="C35"/>
      <x:c r="D35"/>
      <x:c r="E35"/>
      <x:c r="F35"/>
      <x:c r="G35"/>
    </x:row>
    <x:row r="36">
      <x:c r="B36"/>
      <x:c r="C36"/>
      <x:c r="D36"/>
      <x:c r="E36"/>
      <x:c r="F36"/>
      <x:c r="G36"/>
    </x:row>
    <x:row r="37">
      <x:c r="B37"/>
      <x:c r="C37"/>
      <x:c r="D37"/>
      <x:c r="E37"/>
      <x:c r="F37"/>
      <x:c r="G37"/>
    </x:row>
    <x:row r="38">
      <x:c r="B38"/>
      <x:c r="C38"/>
      <x:c r="D38"/>
      <x:c r="E38"/>
      <x:c r="F38"/>
      <x:c r="G38"/>
    </x:row>
    <x:row r="39">
      <x:c r="B39"/>
      <x:c r="C39"/>
      <x:c r="D39"/>
      <x:c r="E39"/>
      <x:c r="F39"/>
      <x:c r="G39"/>
    </x:row>
    <x:row r="40">
      <x:c r="B40"/>
      <x:c r="C40"/>
      <x:c r="D40"/>
      <x:c r="E40"/>
      <x:c r="F40"/>
      <x:c r="G40"/>
    </x:row>
  </x:sheetData>
  <x:pageMargins left="0.7" right="0.7" top="0.75" bottom="0.75" header="0.3" footer="0.3"/>
  <x:tableParts count="1">
    <x:tablePart xmlns:r="http://schemas.openxmlformats.org/officeDocument/2006/relationships" r:id="Rfe567c101ac74619"/>
  </x:tableParts>
</x:worksheet>
</file>

<file path=xl/worksheets/sheet3.xml><?xml version="1.0" encoding="utf-8"?>
<x:worksheet xmlns:x="http://schemas.openxmlformats.org/spreadsheetml/2006/main">
  <x:sheetFormatPr baseColWidth="10" defaultRowHeight="16"/>
  <x:cols>
    <x:col min="1" max="6" width="10.83203125" style="2" customWidth="0"/>
    <x:col min="7" max="8" width="10.83203125" style="3" customWidth="0"/>
    <x:col min="9" max="16384" width="10.83203125" style="2" customWidth="0"/>
  </x:cols>
  <x:sheetData>
    <x:row r="2" ht="29">
      <x:c r="B2" s="1" t="s">
        <x:v>3</x:v>
      </x:c>
      <x:c r="D2" s="3"/>
      <x:c r="E2" s="3"/>
      <x:c r="F2" s="3"/>
    </x:row>
    <x:row r="3">
      <x:c r="D3" s="3"/>
      <x:c r="E3" s="3"/>
      <x:c r="F3" s="3"/>
    </x:row>
    <x:row r="4">
      <x:c r="B4" s="2" t="s">
        <x:v>1</x:v>
      </x:c>
      <x:c r="C4" s="2" t="s">
        <x:v>2</x:v>
      </x:c>
      <x:c r="D4" s="3" t="s">
        <x:v>4</x:v>
      </x:c>
      <x:c r="E4" s="3" t="s">
        <x:v>5</x:v>
      </x:c>
      <x:c r="F4" s="3" t="s">
        <x:v>6</x:v>
      </x:c>
      <x:c r="G4" s="3" t="s">
        <x:v>7</x:v>
      </x:c>
      <x:c r="H4" s="3" t="s">
        <x:v>8</x:v>
      </x:c>
    </x:row>
    <x:row r="5">
      <x:c r="B5" s="2" t="s">
        <x:v>9</x:v>
      </x:c>
      <x:c r="C5" s="2" t="s">
        <x:v>10</x:v>
      </x:c>
      <x:c r="D5" s="3">
        <x:v>1</x:v>
      </x:c>
      <x:c r="E5" s="3">
        <x:v>5</x:v>
      </x:c>
      <x:c r="F5" s="3">
        <x:v>6</x:v>
      </x:c>
      <x:c r="G5" s="4" t="n">
        <x:f>(Tableau14[[#This Row],[a]]+4*Tableau14[[#This Row],[m]]+Tableau14[[#This Row],[p]])/6</x:f>
        <x:v>4.5</x:v>
      </x:c>
      <x:c r="H5" s="5" t="n">
        <x:f>Tableau14[[#This Row],[Estimation]]*60</x:f>
        <x:v>270</x:v>
      </x:c>
    </x:row>
    <x:row r="6">
      <x:c r="C6" s="2" t="s">
        <x:v>11</x:v>
      </x:c>
      <x:c r="D6" s="3">
        <x:v>1</x:v>
      </x:c>
      <x:c r="E6" s="3">
        <x:v>2</x:v>
      </x:c>
      <x:c r="F6" s="3">
        <x:v>8</x:v>
      </x:c>
      <x:c r="G6" s="4" t="n">
        <x:f>(Tableau14[[#This Row],[a]]+4*Tableau14[[#This Row],[m]]+Tableau14[[#This Row],[p]])/6</x:f>
        <x:v>2.8333333333333335</x:v>
      </x:c>
      <x:c r="H6" s="5" t="n">
        <x:f>Tableau14[[#This Row],[Estimation]]*60</x:f>
        <x:v>170</x:v>
      </x:c>
    </x:row>
    <x:row r="7">
      <x:c r="B7" s="2" t="s">
        <x:v>12</x:v>
      </x:c>
      <x:c r="C7" s="2" t="s">
        <x:v>13</x:v>
      </x:c>
      <x:c r="D7" s="3">
        <x:v>3</x:v>
      </x:c>
      <x:c r="E7" s="3">
        <x:v>4</x:v>
      </x:c>
      <x:c r="F7" s="3">
        <x:v>9</x:v>
      </x:c>
      <x:c r="G7" s="4" t="n">
        <x:f>(Tableau14[[#This Row],[a]]+4*Tableau14[[#This Row],[m]]+Tableau14[[#This Row],[p]])/6</x:f>
        <x:v>4.666666666666667</x:v>
      </x:c>
      <x:c r="H7" s="5" t="n">
        <x:f>Tableau14[[#This Row],[Estimation]]*60</x:f>
        <x:v>280</x:v>
      </x:c>
    </x:row>
    <x:row r="8">
      <x:c r="C8" s="2" t="s">
        <x:v>14</x:v>
      </x:c>
      <x:c r="D8" s="3">
        <x:v>1</x:v>
      </x:c>
      <x:c r="E8" s="3">
        <x:v>8</x:v>
      </x:c>
      <x:c r="F8" s="3">
        <x:v>16</x:v>
      </x:c>
      <x:c r="G8" s="4" t="n">
        <x:f>(Tableau14[[#This Row],[a]]+4*Tableau14[[#This Row],[m]]+Tableau14[[#This Row],[p]])/6</x:f>
        <x:v>8.166666666666666</x:v>
      </x:c>
      <x:c r="H8" s="5" t="n">
        <x:f>Tableau14[[#This Row],[Estimation]]*60</x:f>
        <x:v>489.99999999999994</x:v>
      </x:c>
    </x:row>
  </x:sheetData>
  <x:pageMargins left="0.7" right="0.7" top="0.75" bottom="0.75" header="0.3" footer="0.3"/>
  <x:tableParts count="1">
    <x:tablePart xmlns:r="http://schemas.openxmlformats.org/officeDocument/2006/relationships" r:id="Ree458e291960481f"/>
  </x:tableParts>
</x:worksheet>
</file>